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prachi\Downloads\"/>
    </mc:Choice>
  </mc:AlternateContent>
  <bookViews>
    <workbookView xWindow="0" yWindow="0" windowWidth="23040" windowHeight="9384"/>
  </bookViews>
  <sheets>
    <sheet name="Sheet1" sheetId="1" r:id="rId1"/>
  </sheets>
  <externalReferences>
    <externalReference r:id="rId2"/>
  </externalReferenc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2" i="1"/>
  <c r="R3" i="1" l="1"/>
  <c r="R4" i="1"/>
  <c r="R5" i="1"/>
  <c r="R6" i="1"/>
  <c r="R7" i="1"/>
  <c r="R8" i="1"/>
  <c r="R9" i="1"/>
  <c r="R10" i="1"/>
  <c r="R11" i="1"/>
  <c r="R12" i="1"/>
  <c r="R13" i="1"/>
  <c r="R2" i="1"/>
  <c r="K3" i="1"/>
  <c r="K4" i="1"/>
  <c r="K5" i="1"/>
  <c r="M5" i="1" s="1"/>
  <c r="N5" i="1" s="1"/>
  <c r="P5" i="1" s="1"/>
  <c r="Q5" i="1" s="1"/>
  <c r="K6" i="1"/>
  <c r="K7" i="1"/>
  <c r="K8" i="1"/>
  <c r="K9" i="1"/>
  <c r="K10" i="1"/>
  <c r="K11" i="1"/>
  <c r="K12" i="1"/>
  <c r="K13" i="1"/>
  <c r="M13" i="1" s="1"/>
  <c r="N13" i="1" s="1"/>
  <c r="P13" i="1" s="1"/>
  <c r="Q13" i="1" s="1"/>
  <c r="K2" i="1"/>
  <c r="H5" i="1"/>
  <c r="H13" i="1"/>
  <c r="G3" i="1"/>
  <c r="H3" i="1" s="1"/>
  <c r="G4" i="1"/>
  <c r="H4" i="1" s="1"/>
  <c r="G5" i="1"/>
  <c r="L5" i="1" s="1"/>
  <c r="G6" i="1"/>
  <c r="L6" i="1" s="1"/>
  <c r="G7" i="1"/>
  <c r="H7" i="1" s="1"/>
  <c r="G8" i="1"/>
  <c r="L12" i="1" s="1"/>
  <c r="G9" i="1"/>
  <c r="H9" i="1" s="1"/>
  <c r="G10" i="1"/>
  <c r="H10" i="1" s="1"/>
  <c r="G11" i="1"/>
  <c r="H11" i="1" s="1"/>
  <c r="G12" i="1"/>
  <c r="H12" i="1" s="1"/>
  <c r="G13" i="1"/>
  <c r="L13" i="1" s="1"/>
  <c r="G2" i="1"/>
  <c r="L2" i="1" s="1"/>
  <c r="E3" i="1"/>
  <c r="E4" i="1"/>
  <c r="E5" i="1"/>
  <c r="E6" i="1"/>
  <c r="E7" i="1"/>
  <c r="E8" i="1"/>
  <c r="E9" i="1"/>
  <c r="E10" i="1"/>
  <c r="E11" i="1"/>
  <c r="E12" i="1"/>
  <c r="E13" i="1"/>
  <c r="E2" i="1"/>
  <c r="M7" i="1" l="1"/>
  <c r="N7" i="1" s="1"/>
  <c r="P7" i="1" s="1"/>
  <c r="Q7" i="1" s="1"/>
  <c r="M2" i="1"/>
  <c r="N2" i="1" s="1"/>
  <c r="P2" i="1" s="1"/>
  <c r="Q2" i="1" s="1"/>
  <c r="M6" i="1"/>
  <c r="N6" i="1" s="1"/>
  <c r="P6" i="1" s="1"/>
  <c r="Q6" i="1" s="1"/>
  <c r="M12" i="1"/>
  <c r="N12" i="1" s="1"/>
  <c r="P12" i="1" s="1"/>
  <c r="Q12" i="1" s="1"/>
  <c r="M4" i="1"/>
  <c r="N4" i="1" s="1"/>
  <c r="P4" i="1" s="1"/>
  <c r="Q4" i="1" s="1"/>
  <c r="M11" i="1"/>
  <c r="N11" i="1" s="1"/>
  <c r="P11" i="1" s="1"/>
  <c r="Q11" i="1" s="1"/>
  <c r="M10" i="1"/>
  <c r="N10" i="1" s="1"/>
  <c r="P10" i="1" s="1"/>
  <c r="Q10" i="1" s="1"/>
  <c r="M8" i="1"/>
  <c r="N8" i="1" s="1"/>
  <c r="P8" i="1" s="1"/>
  <c r="Q8" i="1" s="1"/>
  <c r="L4" i="1"/>
  <c r="H2" i="1"/>
  <c r="H6" i="1"/>
  <c r="S10" i="1"/>
  <c r="L11" i="1"/>
  <c r="L3" i="1"/>
  <c r="M3" i="1" s="1"/>
  <c r="N3" i="1" s="1"/>
  <c r="P3" i="1" s="1"/>
  <c r="L10" i="1"/>
  <c r="L9" i="1"/>
  <c r="M9" i="1" s="1"/>
  <c r="N9" i="1" s="1"/>
  <c r="P9" i="1" s="1"/>
  <c r="S6" i="1"/>
  <c r="L8" i="1"/>
  <c r="S13" i="1"/>
  <c r="S5" i="1"/>
  <c r="H8" i="1"/>
  <c r="L7" i="1"/>
  <c r="S12" i="1"/>
  <c r="S4" i="1"/>
  <c r="F10" i="1"/>
  <c r="I10" i="1" s="1"/>
  <c r="F9" i="1"/>
  <c r="I9" i="1" s="1"/>
  <c r="F6" i="1"/>
  <c r="F8" i="1"/>
  <c r="I8" i="1" s="1"/>
  <c r="F11" i="1"/>
  <c r="I11" i="1" s="1"/>
  <c r="F4" i="1"/>
  <c r="I4" i="1" s="1"/>
  <c r="F5" i="1"/>
  <c r="I5" i="1" s="1"/>
  <c r="F3" i="1"/>
  <c r="I3" i="1" s="1"/>
  <c r="F2" i="1"/>
  <c r="I2" i="1" s="1"/>
  <c r="F13" i="1"/>
  <c r="I13" i="1" s="1"/>
  <c r="F12" i="1"/>
  <c r="I12" i="1" s="1"/>
  <c r="F7" i="1"/>
  <c r="I7" i="1" s="1"/>
  <c r="Q9" i="1" l="1"/>
  <c r="S9" i="1"/>
  <c r="Q3" i="1"/>
  <c r="S3" i="1"/>
  <c r="J9" i="1"/>
  <c r="J10" i="1"/>
  <c r="S8" i="1"/>
  <c r="J5" i="1"/>
  <c r="S11" i="1"/>
  <c r="S2" i="1"/>
  <c r="J7" i="1"/>
  <c r="S7" i="1"/>
  <c r="J13" i="1"/>
  <c r="J11" i="1"/>
  <c r="I6" i="1"/>
  <c r="J6" i="1" s="1"/>
  <c r="J2" i="1" l="1"/>
  <c r="J8" i="1"/>
  <c r="J3" i="1"/>
  <c r="J4" i="1"/>
  <c r="J12" i="1"/>
</calcChain>
</file>

<file path=xl/sharedStrings.xml><?xml version="1.0" encoding="utf-8"?>
<sst xmlns="http://schemas.openxmlformats.org/spreadsheetml/2006/main" count="31" uniqueCount="31">
  <si>
    <t>State</t>
  </si>
  <si>
    <t>Population_Crore</t>
  </si>
  <si>
    <t>Population_Rank</t>
  </si>
  <si>
    <t>Per_Capita_Income</t>
  </si>
  <si>
    <t>Maharashtra</t>
  </si>
  <si>
    <t>Andhra Pradesh</t>
  </si>
  <si>
    <t>Karnataka</t>
  </si>
  <si>
    <t>Punjab</t>
  </si>
  <si>
    <t>Haryana</t>
  </si>
  <si>
    <t>Rajasthan</t>
  </si>
  <si>
    <t>Uttar Pradesh</t>
  </si>
  <si>
    <t>West Bengal</t>
  </si>
  <si>
    <t>Kerala</t>
  </si>
  <si>
    <t>Tamil Nadu</t>
  </si>
  <si>
    <t>Madhya Pradesh</t>
  </si>
  <si>
    <t>Gujarat</t>
  </si>
  <si>
    <t>Total Population</t>
  </si>
  <si>
    <t>Total Male</t>
  </si>
  <si>
    <t>Total Female</t>
  </si>
  <si>
    <t>Income_Rank</t>
  </si>
  <si>
    <t>Rank Combined Score</t>
  </si>
  <si>
    <t>Combined Score</t>
  </si>
  <si>
    <t>Estimated_Cardiology_Patients</t>
  </si>
  <si>
    <t>Income_Multiplier</t>
  </si>
  <si>
    <t>Estimate Revenue</t>
  </si>
  <si>
    <t>Estimated Cardiology Market Size (₹ Crore)</t>
  </si>
  <si>
    <t>Total_MRs</t>
  </si>
  <si>
    <t>Company_Revenue (₹ Crore)</t>
  </si>
  <si>
    <t>Revenue_per_MR</t>
  </si>
  <si>
    <t>Cost_per_MR</t>
  </si>
  <si>
    <t>ROI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</si>
</sst>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heet2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</sheetNames>
    <sheetDataSet>
      <sheetData sheetId="0">
        <row r="1">
          <cell r="A1" t="str">
            <v>State</v>
          </cell>
          <cell r="B1" t="str">
            <v>2021-22</v>
          </cell>
        </row>
        <row r="2">
          <cell r="A2" t="str">
            <v>Andhra Pradesh</v>
          </cell>
          <cell r="B2">
            <v>192587</v>
          </cell>
        </row>
        <row r="3">
          <cell r="A3" t="str">
            <v>Gujarat</v>
          </cell>
          <cell r="B3">
            <v>250100</v>
          </cell>
        </row>
        <row r="4">
          <cell r="A4" t="str">
            <v>Karnataka</v>
          </cell>
          <cell r="B4">
            <v>265623</v>
          </cell>
        </row>
        <row r="5">
          <cell r="A5" t="str">
            <v>Kerala</v>
          </cell>
          <cell r="B5">
            <v>228767</v>
          </cell>
        </row>
        <row r="6">
          <cell r="A6" t="str">
            <v>Madhya Pradesh</v>
          </cell>
          <cell r="B6">
            <v>121594</v>
          </cell>
        </row>
        <row r="7">
          <cell r="A7" t="str">
            <v>Maharashtra</v>
          </cell>
          <cell r="B7">
            <v>215233</v>
          </cell>
        </row>
        <row r="8">
          <cell r="A8" t="str">
            <v>Punjab</v>
          </cell>
          <cell r="B8">
            <v>161888</v>
          </cell>
        </row>
        <row r="9">
          <cell r="A9" t="str">
            <v>Rajasthan</v>
          </cell>
          <cell r="B9">
            <v>135962</v>
          </cell>
        </row>
        <row r="10">
          <cell r="A10" t="str">
            <v>Tamil Nadu</v>
          </cell>
          <cell r="B10">
            <v>241131</v>
          </cell>
        </row>
        <row r="11">
          <cell r="A11" t="str">
            <v>Telangana</v>
          </cell>
          <cell r="B11">
            <v>265942</v>
          </cell>
        </row>
        <row r="12">
          <cell r="A12" t="str">
            <v>Uttar Pradesh</v>
          </cell>
          <cell r="B12">
            <v>70792</v>
          </cell>
        </row>
        <row r="13">
          <cell r="A13" t="str">
            <v>West Bengal</v>
          </cell>
          <cell r="B13">
            <v>124798</v>
          </cell>
        </row>
        <row r="14">
          <cell r="A14" t="str">
            <v>Haryana</v>
          </cell>
          <cell r="B14">
            <v>264835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6"/>
  <sheetViews>
    <sheetView tabSelected="1" workbookViewId="0">
      <pane xSplit="1" topLeftCell="B1" activePane="topRight" state="frozen"/>
      <selection pane="topRight" activeCell="A6" sqref="A6"/>
    </sheetView>
  </sheetViews>
  <sheetFormatPr defaultRowHeight="14.4" x14ac:dyDescent="0.3"/>
  <cols>
    <col min="1" max="1" width="16.77734375" customWidth="1"/>
    <col min="2" max="4" width="15.33203125" style="1" customWidth="1"/>
    <col min="5" max="5" width="15.6640625" customWidth="1"/>
    <col min="6" max="6" width="14.44140625" customWidth="1"/>
    <col min="7" max="7" width="18" customWidth="1"/>
    <col min="8" max="8" width="13" customWidth="1"/>
    <col min="9" max="9" width="14.5546875" customWidth="1"/>
    <col min="10" max="10" width="18.5546875" customWidth="1"/>
    <col min="11" max="11" width="26.21875" customWidth="1"/>
    <col min="12" max="12" width="17.88671875" customWidth="1"/>
    <col min="13" max="13" width="16.109375" customWidth="1"/>
    <col min="14" max="14" width="35.44140625" customWidth="1"/>
    <col min="15" max="15" width="10.44140625" customWidth="1"/>
    <col min="16" max="16" width="21.44140625" customWidth="1"/>
    <col min="17" max="17" width="16.33203125" customWidth="1"/>
    <col min="18" max="18" width="12.109375" customWidth="1"/>
    <col min="19" max="19" width="13.109375" customWidth="1"/>
    <col min="20" max="20" width="21" customWidth="1"/>
  </cols>
  <sheetData>
    <row r="1" spans="1:19" x14ac:dyDescent="0.3">
      <c r="A1" t="s">
        <v>0</v>
      </c>
      <c r="B1" s="1" t="s">
        <v>16</v>
      </c>
      <c r="C1" s="1" t="s">
        <v>17</v>
      </c>
      <c r="D1" s="1" t="s">
        <v>18</v>
      </c>
      <c r="E1" s="1" t="s">
        <v>1</v>
      </c>
      <c r="F1" s="1" t="s">
        <v>2</v>
      </c>
      <c r="G1" s="1" t="s">
        <v>3</v>
      </c>
      <c r="H1" s="1" t="s">
        <v>19</v>
      </c>
      <c r="I1" s="1" t="s">
        <v>21</v>
      </c>
      <c r="J1" s="1" t="s">
        <v>20</v>
      </c>
      <c r="K1" t="s">
        <v>22</v>
      </c>
      <c r="L1" t="s">
        <v>23</v>
      </c>
      <c r="M1" s="1" t="s">
        <v>24</v>
      </c>
      <c r="N1" t="s">
        <v>25</v>
      </c>
      <c r="O1" t="s">
        <v>26</v>
      </c>
      <c r="P1" t="s">
        <v>27</v>
      </c>
      <c r="Q1" t="s">
        <v>28</v>
      </c>
      <c r="R1" t="s">
        <v>29</v>
      </c>
      <c r="S1" t="s">
        <v>30</v>
      </c>
    </row>
    <row r="2" spans="1:19" x14ac:dyDescent="0.3">
      <c r="A2" t="s">
        <v>4</v>
      </c>
      <c r="B2" s="1">
        <v>112374333</v>
      </c>
      <c r="C2" s="1">
        <v>58243056</v>
      </c>
      <c r="D2" s="1">
        <v>54131277</v>
      </c>
      <c r="E2">
        <f>B2/10000000</f>
        <v>11.237433299999999</v>
      </c>
      <c r="F2">
        <f t="shared" ref="F2:F13" si="0">RANK(E2,$E$2:$E$13,0)</f>
        <v>2</v>
      </c>
      <c r="G2">
        <f>VLOOKUP(A2,[1]Sheet2!A:B,2,FALSE)</f>
        <v>215233</v>
      </c>
      <c r="H2">
        <f>RANK(G2,$G$2:$G$13,0)</f>
        <v>6</v>
      </c>
      <c r="I2">
        <f>F2 + H2</f>
        <v>8</v>
      </c>
      <c r="J2">
        <f>RANK(I2,$I$2:$I$13,1)</f>
        <v>1</v>
      </c>
      <c r="K2">
        <f xml:space="preserve"> B2 * 0.07</f>
        <v>7866203.3100000005</v>
      </c>
      <c r="L2">
        <f>G2 / MAX($G$2:$G$13)</f>
        <v>0.8102950422214944</v>
      </c>
      <c r="M2">
        <f xml:space="preserve"> K2 * 6000 * L2</f>
        <v>38243673259.195854</v>
      </c>
      <c r="N2">
        <f xml:space="preserve"> M2 / 10000000</f>
        <v>3824.3673259195853</v>
      </c>
      <c r="O2">
        <f>ROUND( (B2 / SUM($B$2:$B$13)) * 500,0)</f>
        <v>62</v>
      </c>
      <c r="P2">
        <f xml:space="preserve"> N2 * 0.12</f>
        <v>458.92407911035019</v>
      </c>
      <c r="Q2">
        <f xml:space="preserve"> P2 / O2</f>
        <v>7.4020012759733902</v>
      </c>
      <c r="R2">
        <f>O2*0.1</f>
        <v>6.2</v>
      </c>
      <c r="S2">
        <f xml:space="preserve"> P2 / R2</f>
        <v>74.020012759733902</v>
      </c>
    </row>
    <row r="3" spans="1:19" x14ac:dyDescent="0.3">
      <c r="A3" t="s">
        <v>5</v>
      </c>
      <c r="B3" s="1">
        <v>84580777</v>
      </c>
      <c r="C3" s="1">
        <v>42442146</v>
      </c>
      <c r="D3" s="1">
        <v>42138631</v>
      </c>
      <c r="E3">
        <f t="shared" ref="E3:E13" si="1">B3/10000000</f>
        <v>8.4580777000000005</v>
      </c>
      <c r="F3">
        <f t="shared" si="0"/>
        <v>4</v>
      </c>
      <c r="G3">
        <f>VLOOKUP(A3,[1]Sheet2!A:B,2,FALSE)</f>
        <v>192587</v>
      </c>
      <c r="H3">
        <f t="shared" ref="H3:H13" si="2">RANK(G3,$G$2:$G$13,0)</f>
        <v>7</v>
      </c>
      <c r="I3">
        <f t="shared" ref="I3:I13" si="3">F3 + H3</f>
        <v>11</v>
      </c>
      <c r="J3">
        <f t="shared" ref="J3:J13" si="4">RANK(I3,$I$2:$I$13,1)</f>
        <v>4</v>
      </c>
      <c r="K3">
        <f t="shared" ref="K3:K13" si="5" xml:space="preserve"> B3 * 0.07</f>
        <v>5920654.3900000006</v>
      </c>
      <c r="L3">
        <f t="shared" ref="L3:L13" si="6">G3 / MAX($G$2:$G$13)</f>
        <v>0.72503887088091012</v>
      </c>
      <c r="M3">
        <f t="shared" ref="M3:M13" si="7" xml:space="preserve"> K3 * 6000 * L3</f>
        <v>25756227442.810223</v>
      </c>
      <c r="N3">
        <f t="shared" ref="N3:N13" si="8" xml:space="preserve"> M3 / 10000000</f>
        <v>2575.6227442810223</v>
      </c>
      <c r="O3">
        <f t="shared" ref="O3:O13" si="9">ROUND( (B3 / SUM($B$2:$B$13)) * 500,0)</f>
        <v>47</v>
      </c>
      <c r="P3">
        <f t="shared" ref="P3:P13" si="10" xml:space="preserve"> N3 * 0.12</f>
        <v>309.07472931372268</v>
      </c>
      <c r="Q3">
        <f t="shared" ref="Q3:Q13" si="11" xml:space="preserve"> P3 / O3</f>
        <v>6.5760580705047378</v>
      </c>
      <c r="R3">
        <f t="shared" ref="R3:R13" si="12">O3*0.1</f>
        <v>4.7</v>
      </c>
      <c r="S3">
        <f t="shared" ref="S3:S13" si="13" xml:space="preserve"> P3 / R3</f>
        <v>65.760580705047374</v>
      </c>
    </row>
    <row r="4" spans="1:19" x14ac:dyDescent="0.3">
      <c r="A4" t="s">
        <v>6</v>
      </c>
      <c r="B4" s="1">
        <v>61095297</v>
      </c>
      <c r="C4" s="1">
        <v>30966657</v>
      </c>
      <c r="D4" s="1">
        <v>30128640</v>
      </c>
      <c r="E4">
        <f t="shared" si="1"/>
        <v>6.1095297000000004</v>
      </c>
      <c r="F4">
        <f t="shared" si="0"/>
        <v>8</v>
      </c>
      <c r="G4">
        <f>VLOOKUP(A4,[1]Sheet2!A:B,2,FALSE)</f>
        <v>265623</v>
      </c>
      <c r="H4">
        <f t="shared" si="2"/>
        <v>1</v>
      </c>
      <c r="I4">
        <f t="shared" si="3"/>
        <v>9</v>
      </c>
      <c r="J4">
        <f t="shared" si="4"/>
        <v>2</v>
      </c>
      <c r="K4">
        <f t="shared" si="5"/>
        <v>4276670.79</v>
      </c>
      <c r="L4">
        <f t="shared" si="6"/>
        <v>1</v>
      </c>
      <c r="M4">
        <f t="shared" si="7"/>
        <v>25660024740</v>
      </c>
      <c r="N4">
        <f t="shared" si="8"/>
        <v>2566.0024739999999</v>
      </c>
      <c r="O4">
        <f t="shared" si="9"/>
        <v>34</v>
      </c>
      <c r="P4">
        <f t="shared" si="10"/>
        <v>307.92029687999997</v>
      </c>
      <c r="Q4">
        <f t="shared" si="11"/>
        <v>9.0564793199999993</v>
      </c>
      <c r="R4">
        <f t="shared" si="12"/>
        <v>3.4000000000000004</v>
      </c>
      <c r="S4">
        <f t="shared" si="13"/>
        <v>90.564793199999983</v>
      </c>
    </row>
    <row r="5" spans="1:19" x14ac:dyDescent="0.3">
      <c r="A5" t="s">
        <v>7</v>
      </c>
      <c r="B5" s="1">
        <v>27743338</v>
      </c>
      <c r="C5" s="1">
        <v>14639465</v>
      </c>
      <c r="D5" s="1">
        <v>13103873</v>
      </c>
      <c r="E5">
        <f t="shared" si="1"/>
        <v>2.7743338</v>
      </c>
      <c r="F5">
        <f t="shared" si="0"/>
        <v>11</v>
      </c>
      <c r="G5">
        <f>VLOOKUP(A5,[1]Sheet2!A:B,2,FALSE)</f>
        <v>161888</v>
      </c>
      <c r="H5">
        <f t="shared" si="2"/>
        <v>8</v>
      </c>
      <c r="I5">
        <f t="shared" si="3"/>
        <v>19</v>
      </c>
      <c r="J5">
        <f t="shared" si="4"/>
        <v>12</v>
      </c>
      <c r="K5">
        <f t="shared" si="5"/>
        <v>1942033.6600000001</v>
      </c>
      <c r="L5">
        <f t="shared" si="6"/>
        <v>0.60946529479751377</v>
      </c>
      <c r="M5">
        <f t="shared" si="7"/>
        <v>7101612702.591568</v>
      </c>
      <c r="N5">
        <f t="shared" si="8"/>
        <v>710.16127025915682</v>
      </c>
      <c r="O5">
        <f t="shared" si="9"/>
        <v>15</v>
      </c>
      <c r="P5">
        <f t="shared" si="10"/>
        <v>85.219352431098812</v>
      </c>
      <c r="Q5">
        <f t="shared" si="11"/>
        <v>5.6812901620732541</v>
      </c>
      <c r="R5">
        <f t="shared" si="12"/>
        <v>1.5</v>
      </c>
      <c r="S5">
        <f t="shared" si="13"/>
        <v>56.812901620732539</v>
      </c>
    </row>
    <row r="6" spans="1:19" x14ac:dyDescent="0.3">
      <c r="A6" t="s">
        <v>8</v>
      </c>
      <c r="B6" s="1">
        <v>25351462</v>
      </c>
      <c r="C6" s="1">
        <v>13494734</v>
      </c>
      <c r="D6" s="1">
        <v>11856728</v>
      </c>
      <c r="E6">
        <f t="shared" si="1"/>
        <v>2.5351461999999998</v>
      </c>
      <c r="F6">
        <f t="shared" si="0"/>
        <v>12</v>
      </c>
      <c r="G6">
        <f>VLOOKUP(A6,[1]Sheet2!A:B,2,FALSE)</f>
        <v>264835</v>
      </c>
      <c r="H6">
        <f t="shared" si="2"/>
        <v>2</v>
      </c>
      <c r="I6">
        <f t="shared" si="3"/>
        <v>14</v>
      </c>
      <c r="J6">
        <f t="shared" si="4"/>
        <v>8</v>
      </c>
      <c r="K6">
        <f t="shared" si="5"/>
        <v>1774602.34</v>
      </c>
      <c r="L6">
        <f t="shared" si="6"/>
        <v>0.99703338942787334</v>
      </c>
      <c r="M6">
        <f t="shared" si="7"/>
        <v>10616026715.621012</v>
      </c>
      <c r="N6">
        <f t="shared" si="8"/>
        <v>1061.6026715621012</v>
      </c>
      <c r="O6">
        <f t="shared" si="9"/>
        <v>14</v>
      </c>
      <c r="P6">
        <f t="shared" si="10"/>
        <v>127.39232058745215</v>
      </c>
      <c r="Q6">
        <f t="shared" si="11"/>
        <v>9.099451470532296</v>
      </c>
      <c r="R6">
        <f t="shared" si="12"/>
        <v>1.4000000000000001</v>
      </c>
      <c r="S6">
        <f t="shared" si="13"/>
        <v>90.994514705322956</v>
      </c>
    </row>
    <row r="7" spans="1:19" x14ac:dyDescent="0.3">
      <c r="A7" t="s">
        <v>9</v>
      </c>
      <c r="B7" s="1">
        <v>68548437</v>
      </c>
      <c r="C7" s="1">
        <v>35550997</v>
      </c>
      <c r="D7" s="1">
        <v>32997440</v>
      </c>
      <c r="E7">
        <f t="shared" si="1"/>
        <v>6.8548437</v>
      </c>
      <c r="F7">
        <f t="shared" si="0"/>
        <v>7</v>
      </c>
      <c r="G7">
        <f>VLOOKUP(A7,[1]Sheet2!A:B,2,FALSE)</f>
        <v>135962</v>
      </c>
      <c r="H7">
        <f t="shared" si="2"/>
        <v>9</v>
      </c>
      <c r="I7">
        <f t="shared" si="3"/>
        <v>16</v>
      </c>
      <c r="J7">
        <f t="shared" si="4"/>
        <v>10</v>
      </c>
      <c r="K7">
        <f t="shared" si="5"/>
        <v>4798390.5900000008</v>
      </c>
      <c r="L7">
        <f t="shared" si="6"/>
        <v>0.51186079518716376</v>
      </c>
      <c r="M7">
        <f t="shared" si="7"/>
        <v>14736648138.096025</v>
      </c>
      <c r="N7">
        <f t="shared" si="8"/>
        <v>1473.6648138096025</v>
      </c>
      <c r="O7">
        <f t="shared" si="9"/>
        <v>38</v>
      </c>
      <c r="P7">
        <f t="shared" si="10"/>
        <v>176.8397776571523</v>
      </c>
      <c r="Q7">
        <f t="shared" si="11"/>
        <v>4.6536783593987447</v>
      </c>
      <c r="R7">
        <f t="shared" si="12"/>
        <v>3.8000000000000003</v>
      </c>
      <c r="S7">
        <f t="shared" si="13"/>
        <v>46.536783593987444</v>
      </c>
    </row>
    <row r="8" spans="1:19" x14ac:dyDescent="0.3">
      <c r="A8" t="s">
        <v>10</v>
      </c>
      <c r="B8" s="1">
        <v>199812341</v>
      </c>
      <c r="C8" s="1">
        <v>104480510</v>
      </c>
      <c r="D8" s="1">
        <v>95331831</v>
      </c>
      <c r="E8">
        <f t="shared" si="1"/>
        <v>19.981234100000002</v>
      </c>
      <c r="F8">
        <f t="shared" si="0"/>
        <v>1</v>
      </c>
      <c r="G8">
        <f>VLOOKUP(A8,[1]Sheet2!A:B,2,FALSE)</f>
        <v>70792</v>
      </c>
      <c r="H8">
        <f t="shared" si="2"/>
        <v>12</v>
      </c>
      <c r="I8">
        <f t="shared" si="3"/>
        <v>13</v>
      </c>
      <c r="J8">
        <f t="shared" si="4"/>
        <v>6</v>
      </c>
      <c r="K8">
        <f t="shared" si="5"/>
        <v>13986863.870000001</v>
      </c>
      <c r="L8">
        <f t="shared" si="6"/>
        <v>0.26651306551014031</v>
      </c>
      <c r="M8">
        <f t="shared" si="7"/>
        <v>22366091801.200348</v>
      </c>
      <c r="N8">
        <f t="shared" si="8"/>
        <v>2236.6091801200346</v>
      </c>
      <c r="O8">
        <f t="shared" si="9"/>
        <v>110</v>
      </c>
      <c r="P8">
        <f t="shared" si="10"/>
        <v>268.39310161440415</v>
      </c>
      <c r="Q8">
        <f t="shared" si="11"/>
        <v>2.4399372874036742</v>
      </c>
      <c r="R8">
        <f t="shared" si="12"/>
        <v>11</v>
      </c>
      <c r="S8">
        <f t="shared" si="13"/>
        <v>24.399372874036739</v>
      </c>
    </row>
    <row r="9" spans="1:19" x14ac:dyDescent="0.3">
      <c r="A9" t="s">
        <v>11</v>
      </c>
      <c r="B9" s="1">
        <v>91276115</v>
      </c>
      <c r="C9" s="1">
        <v>46809027</v>
      </c>
      <c r="D9" s="1">
        <v>44467088</v>
      </c>
      <c r="E9">
        <f t="shared" si="1"/>
        <v>9.1276115000000004</v>
      </c>
      <c r="F9">
        <f t="shared" si="0"/>
        <v>3</v>
      </c>
      <c r="G9">
        <f>VLOOKUP(A9,[1]Sheet2!A:B,2,FALSE)</f>
        <v>124798</v>
      </c>
      <c r="H9">
        <f t="shared" si="2"/>
        <v>10</v>
      </c>
      <c r="I9">
        <f t="shared" si="3"/>
        <v>13</v>
      </c>
      <c r="J9">
        <f t="shared" si="4"/>
        <v>6</v>
      </c>
      <c r="K9">
        <f t="shared" si="5"/>
        <v>6389328.0500000007</v>
      </c>
      <c r="L9">
        <f t="shared" si="6"/>
        <v>0.46983130225921699</v>
      </c>
      <c r="M9">
        <f t="shared" si="7"/>
        <v>18011437909.757065</v>
      </c>
      <c r="N9">
        <f t="shared" si="8"/>
        <v>1801.1437909757065</v>
      </c>
      <c r="O9">
        <f t="shared" si="9"/>
        <v>50</v>
      </c>
      <c r="P9">
        <f t="shared" si="10"/>
        <v>216.13725491708476</v>
      </c>
      <c r="Q9">
        <f t="shared" si="11"/>
        <v>4.3227450983416951</v>
      </c>
      <c r="R9">
        <f t="shared" si="12"/>
        <v>5</v>
      </c>
      <c r="S9">
        <f t="shared" si="13"/>
        <v>43.227450983416951</v>
      </c>
    </row>
    <row r="10" spans="1:19" x14ac:dyDescent="0.3">
      <c r="A10" t="s">
        <v>12</v>
      </c>
      <c r="B10" s="1">
        <v>33406061</v>
      </c>
      <c r="C10" s="1">
        <v>16027412</v>
      </c>
      <c r="D10" s="1">
        <v>17378649</v>
      </c>
      <c r="E10">
        <f t="shared" si="1"/>
        <v>3.3406061</v>
      </c>
      <c r="F10">
        <f t="shared" si="0"/>
        <v>10</v>
      </c>
      <c r="G10">
        <f>VLOOKUP(A10,[1]Sheet2!A:B,2,FALSE)</f>
        <v>228767</v>
      </c>
      <c r="H10">
        <f t="shared" si="2"/>
        <v>5</v>
      </c>
      <c r="I10">
        <f t="shared" si="3"/>
        <v>15</v>
      </c>
      <c r="J10">
        <f t="shared" si="4"/>
        <v>9</v>
      </c>
      <c r="K10">
        <f t="shared" si="5"/>
        <v>2338424.27</v>
      </c>
      <c r="L10">
        <f t="shared" si="6"/>
        <v>0.86124695527119266</v>
      </c>
      <c r="M10">
        <f t="shared" si="7"/>
        <v>12083764696.018568</v>
      </c>
      <c r="N10">
        <f t="shared" si="8"/>
        <v>1208.3764696018568</v>
      </c>
      <c r="O10">
        <f t="shared" si="9"/>
        <v>18</v>
      </c>
      <c r="P10">
        <f t="shared" si="10"/>
        <v>145.0051763522228</v>
      </c>
      <c r="Q10">
        <f t="shared" si="11"/>
        <v>8.0558431306790439</v>
      </c>
      <c r="R10">
        <f t="shared" si="12"/>
        <v>1.8</v>
      </c>
      <c r="S10">
        <f t="shared" si="13"/>
        <v>80.558431306790439</v>
      </c>
    </row>
    <row r="11" spans="1:19" x14ac:dyDescent="0.3">
      <c r="A11" t="s">
        <v>13</v>
      </c>
      <c r="B11" s="1">
        <v>72147030</v>
      </c>
      <c r="C11" s="1">
        <v>36137975</v>
      </c>
      <c r="D11" s="1">
        <v>36009055</v>
      </c>
      <c r="E11">
        <f t="shared" si="1"/>
        <v>7.2147030000000001</v>
      </c>
      <c r="F11">
        <f t="shared" si="0"/>
        <v>6</v>
      </c>
      <c r="G11">
        <f>VLOOKUP(A11,[1]Sheet2!A:B,2,FALSE)</f>
        <v>241131</v>
      </c>
      <c r="H11">
        <f t="shared" si="2"/>
        <v>4</v>
      </c>
      <c r="I11">
        <f t="shared" si="3"/>
        <v>10</v>
      </c>
      <c r="J11">
        <f t="shared" si="4"/>
        <v>3</v>
      </c>
      <c r="K11">
        <f t="shared" si="5"/>
        <v>5050292.1000000006</v>
      </c>
      <c r="L11">
        <f t="shared" si="6"/>
        <v>0.90779412927344394</v>
      </c>
      <c r="M11">
        <f t="shared" si="7"/>
        <v>27507753116.976318</v>
      </c>
      <c r="N11">
        <f t="shared" si="8"/>
        <v>2750.7753116976319</v>
      </c>
      <c r="O11">
        <f t="shared" si="9"/>
        <v>40</v>
      </c>
      <c r="P11">
        <f t="shared" si="10"/>
        <v>330.09303740371581</v>
      </c>
      <c r="Q11">
        <f t="shared" si="11"/>
        <v>8.2523259350928946</v>
      </c>
      <c r="R11">
        <f t="shared" si="12"/>
        <v>4</v>
      </c>
      <c r="S11">
        <f t="shared" si="13"/>
        <v>82.523259350928953</v>
      </c>
    </row>
    <row r="12" spans="1:19" x14ac:dyDescent="0.3">
      <c r="A12" t="s">
        <v>14</v>
      </c>
      <c r="B12" s="1">
        <v>72626809</v>
      </c>
      <c r="C12" s="1">
        <v>37612306</v>
      </c>
      <c r="D12" s="1">
        <v>35014503</v>
      </c>
      <c r="E12">
        <f t="shared" si="1"/>
        <v>7.2626809000000003</v>
      </c>
      <c r="F12">
        <f t="shared" si="0"/>
        <v>5</v>
      </c>
      <c r="G12">
        <f>VLOOKUP(A12,[1]Sheet2!A:B,2,FALSE)</f>
        <v>121594</v>
      </c>
      <c r="H12">
        <f t="shared" si="2"/>
        <v>11</v>
      </c>
      <c r="I12">
        <f t="shared" si="3"/>
        <v>16</v>
      </c>
      <c r="J12">
        <f t="shared" si="4"/>
        <v>10</v>
      </c>
      <c r="K12">
        <f t="shared" si="5"/>
        <v>5083876.6300000008</v>
      </c>
      <c r="L12">
        <f t="shared" si="6"/>
        <v>0.45776909379082381</v>
      </c>
      <c r="M12">
        <f t="shared" si="7"/>
        <v>13963449587.156685</v>
      </c>
      <c r="N12">
        <f t="shared" si="8"/>
        <v>1396.3449587156686</v>
      </c>
      <c r="O12">
        <f t="shared" si="9"/>
        <v>40</v>
      </c>
      <c r="P12">
        <f t="shared" si="10"/>
        <v>167.56139504588023</v>
      </c>
      <c r="Q12">
        <f t="shared" si="11"/>
        <v>4.189034876147006</v>
      </c>
      <c r="R12">
        <f t="shared" si="12"/>
        <v>4</v>
      </c>
      <c r="S12">
        <f t="shared" si="13"/>
        <v>41.890348761470058</v>
      </c>
    </row>
    <row r="13" spans="1:19" x14ac:dyDescent="0.3">
      <c r="A13" t="s">
        <v>15</v>
      </c>
      <c r="B13" s="1">
        <v>60439692</v>
      </c>
      <c r="C13" s="1">
        <v>31491260</v>
      </c>
      <c r="D13" s="1">
        <v>28948432</v>
      </c>
      <c r="E13">
        <f t="shared" si="1"/>
        <v>6.0439692000000003</v>
      </c>
      <c r="F13">
        <f t="shared" si="0"/>
        <v>9</v>
      </c>
      <c r="G13">
        <f>VLOOKUP(A13,[1]Sheet2!A:B,2,FALSE)</f>
        <v>250100</v>
      </c>
      <c r="H13">
        <f t="shared" si="2"/>
        <v>3</v>
      </c>
      <c r="I13">
        <f t="shared" si="3"/>
        <v>12</v>
      </c>
      <c r="J13">
        <f t="shared" si="4"/>
        <v>5</v>
      </c>
      <c r="K13">
        <f t="shared" si="5"/>
        <v>4230778.4400000004</v>
      </c>
      <c r="L13">
        <f t="shared" si="6"/>
        <v>0.94156003056964188</v>
      </c>
      <c r="M13">
        <f t="shared" si="7"/>
        <v>23901191263.798695</v>
      </c>
      <c r="N13">
        <f t="shared" si="8"/>
        <v>2390.1191263798696</v>
      </c>
      <c r="O13">
        <f t="shared" si="9"/>
        <v>33</v>
      </c>
      <c r="P13">
        <f t="shared" si="10"/>
        <v>286.81429516558433</v>
      </c>
      <c r="Q13">
        <f t="shared" si="11"/>
        <v>8.6913422777449796</v>
      </c>
      <c r="R13">
        <f t="shared" si="12"/>
        <v>3.3000000000000003</v>
      </c>
      <c r="S13">
        <f t="shared" si="13"/>
        <v>86.913422777449796</v>
      </c>
    </row>
    <row r="16" spans="1:19" x14ac:dyDescent="0.3">
      <c r="B16"/>
      <c r="C16"/>
      <c r="D16"/>
    </row>
    <row r="17" spans="1:4" x14ac:dyDescent="0.3">
      <c r="B17"/>
      <c r="C17"/>
      <c r="D17"/>
    </row>
    <row r="18" spans="1:4" x14ac:dyDescent="0.3">
      <c r="A18" s="1"/>
      <c r="C18"/>
      <c r="D18"/>
    </row>
    <row r="21" spans="1:4" x14ac:dyDescent="0.3">
      <c r="B21"/>
      <c r="C21"/>
      <c r="D21"/>
    </row>
    <row r="22" spans="1:4" x14ac:dyDescent="0.3">
      <c r="B22"/>
      <c r="C22"/>
      <c r="D22"/>
    </row>
    <row r="35" spans="2:4" x14ac:dyDescent="0.3">
      <c r="B35"/>
      <c r="C35"/>
      <c r="D35"/>
    </row>
    <row r="36" spans="2:4" x14ac:dyDescent="0.3">
      <c r="B36"/>
      <c r="C36"/>
      <c r="D36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Flextronics International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2026-02-18T07:14:23Z</cp:lastPrinted>
  <dcterms:created xsi:type="dcterms:W3CDTF">2026-02-15T07:19:52Z</dcterms:created>
  <dcterms:modified xsi:type="dcterms:W3CDTF">2026-02-18T07:29:59Z</dcterms:modified>
</cp:coreProperties>
</file>